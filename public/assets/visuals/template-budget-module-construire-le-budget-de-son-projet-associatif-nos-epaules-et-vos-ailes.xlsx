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Budget V1" sheetId="1" r:id="rId4"/>
  </sheets>
  <definedNames/>
  <calcPr/>
</workbook>
</file>

<file path=xl/sharedStrings.xml><?xml version="1.0" encoding="utf-8"?>
<sst xmlns="http://schemas.openxmlformats.org/spreadsheetml/2006/main" count="82" uniqueCount="67">
  <si>
    <r>
      <rPr>
        <rFont val="Arial"/>
        <b/>
        <color theme="1"/>
        <sz val="11.0"/>
      </rPr>
      <t>Quelques éléments importants pour s'approprier ce template :</t>
    </r>
    <r>
      <rPr>
        <rFont val="Arial"/>
        <b val="0"/>
        <color theme="1"/>
        <sz val="11.0"/>
      </rPr>
      <t xml:space="preserve">
- les montants indiqués sont fictifs; bien évidement, si votre projet se déroule sur un an, inutle de conserver plusieurs colonnes pour les années
- la colonne "commentaires" doit être utilisée pour ajouter toutes précisions utiles à la compréhension de vos lignes budgétaires
- la segmentation des dépenses proposées est pensée par rapport à un exemple de projet; il faut donc adapter cette segmentation en fonction des singularités de votre projet
- la segmentation des ressources peut être simplfiée, notamment si vous avez peu de financeurs à faire figurer</t>
    </r>
  </si>
  <si>
    <r>
      <rPr>
        <rFont val="Arial"/>
        <b/>
        <color rgb="FFFFFFFF"/>
        <sz val="14.0"/>
      </rPr>
      <t xml:space="preserve">BUDGET DU PROJET E-LEARNING SANTÉ
</t>
    </r>
    <r>
      <rPr>
        <rFont val="Arial"/>
        <b val="0"/>
        <i/>
        <color rgb="FFFFFFFF"/>
        <sz val="14.0"/>
      </rPr>
      <t>Former 10 000 professionnels de santé au repérage et signalement des violences commises sur les enfants</t>
    </r>
  </si>
  <si>
    <t>Dépenses</t>
  </si>
  <si>
    <t>Ressources</t>
  </si>
  <si>
    <t>Poste budgétaire</t>
  </si>
  <si>
    <t>Responsable</t>
  </si>
  <si>
    <t>Total</t>
  </si>
  <si>
    <t>Commentaires</t>
  </si>
  <si>
    <r>
      <rPr>
        <rFont val="Arial"/>
        <b/>
        <color theme="1"/>
        <sz val="11.0"/>
      </rPr>
      <t xml:space="preserve">Facultatif : Ventilation du don du mécène
</t>
    </r>
    <r>
      <rPr>
        <rFont val="Arial"/>
        <b val="0"/>
        <i/>
        <color theme="1"/>
        <sz val="11.0"/>
      </rPr>
      <t>Ex avec un don de 15k€ (Fonds nos Epaules 
et vos Ailes)</t>
    </r>
  </si>
  <si>
    <t>Financeurs</t>
  </si>
  <si>
    <t>Statut</t>
  </si>
  <si>
    <t>1. Pilotage global du projet</t>
  </si>
  <si>
    <t>Fonds propres</t>
  </si>
  <si>
    <t>Comitologie, Coordination partenariale, Suivi du calendrier</t>
  </si>
  <si>
    <r>
      <rPr>
        <rFont val="Arial"/>
        <color rgb="FF000000"/>
        <sz val="11.0"/>
      </rPr>
      <t>Make.org</t>
    </r>
    <r>
      <rPr>
        <rFont val="Arial"/>
        <color theme="1"/>
        <sz val="11.0"/>
      </rPr>
      <t xml:space="preserve"> Foundation</t>
    </r>
  </si>
  <si>
    <t>X% du Chargé de projet 
et X% du Directeur
ou 
X jours du Chargé de projet</t>
  </si>
  <si>
    <t>Adhésions</t>
  </si>
  <si>
    <t>Obtenu</t>
  </si>
  <si>
    <t>Suivi des KPI / de l'impact</t>
  </si>
  <si>
    <r>
      <rPr>
        <rFont val="Arial"/>
        <color rgb="FF000000"/>
        <sz val="11.0"/>
      </rPr>
      <t>Make.org</t>
    </r>
    <r>
      <rPr>
        <rFont val="Arial"/>
        <color theme="1"/>
        <sz val="11.0"/>
      </rPr>
      <t xml:space="preserve"> Foundation</t>
    </r>
  </si>
  <si>
    <t>Prestations</t>
  </si>
  <si>
    <t>2. Production de la formation</t>
  </si>
  <si>
    <t>Financements publics</t>
  </si>
  <si>
    <t>Définition du cahier des charges</t>
  </si>
  <si>
    <r>
      <rPr>
        <rFont val="Arial"/>
        <color rgb="FF000000"/>
        <sz val="11.0"/>
      </rPr>
      <t>Make.org</t>
    </r>
    <r>
      <rPr>
        <rFont val="Arial"/>
        <color theme="1"/>
        <sz val="11.0"/>
      </rPr>
      <t xml:space="preserve"> Foundation</t>
    </r>
  </si>
  <si>
    <t>Ministère XYZ</t>
  </si>
  <si>
    <t>Sollicité</t>
  </si>
  <si>
    <t>Conception du contenu pédagogique</t>
  </si>
  <si>
    <t>Nom du prestataire</t>
  </si>
  <si>
    <t>Région ABC</t>
  </si>
  <si>
    <t>Tournage vidéos et montage</t>
  </si>
  <si>
    <t>Autre partenaire public</t>
  </si>
  <si>
    <t>En recherche</t>
  </si>
  <si>
    <t>Interventions des experts formateurs</t>
  </si>
  <si>
    <t>Intervenants dans les vidéos</t>
  </si>
  <si>
    <t>Création de la plateforme de formation en ligne</t>
  </si>
  <si>
    <t>Mécénat (soutiens privés)</t>
  </si>
  <si>
    <t>Création du ChatBot</t>
  </si>
  <si>
    <t>Nom du mécène de compétences</t>
  </si>
  <si>
    <t>Mécénat de compétences</t>
  </si>
  <si>
    <t>Fondation ABC</t>
  </si>
  <si>
    <t>Renouvellement possible pour 2026</t>
  </si>
  <si>
    <t>Entreprise XYZ</t>
  </si>
  <si>
    <t>3. Expérimentation de la formation</t>
  </si>
  <si>
    <t>Fonds Nos Epaules et Vos Ailes</t>
  </si>
  <si>
    <t>Recrutement de 20 professionnels de santé pour tester la formation</t>
  </si>
  <si>
    <t>Recrutement vie les réseaux de nos partenaires A et B</t>
  </si>
  <si>
    <t>Echanges avec les testeurs : retours d'expérience</t>
  </si>
  <si>
    <r>
      <rPr>
        <rFont val="Arial"/>
        <color rgb="FF000000"/>
        <sz val="11.0"/>
      </rPr>
      <t>Make.org</t>
    </r>
    <r>
      <rPr>
        <rFont val="Arial"/>
        <color theme="1"/>
        <sz val="11.0"/>
      </rPr>
      <t xml:space="preserve"> Foundation</t>
    </r>
  </si>
  <si>
    <t>Entretiens de 2h avec chaque professionnels ayant testé la formation</t>
  </si>
  <si>
    <t>Intégration des ajustementts / corrections / améliorations</t>
  </si>
  <si>
    <t>4. Diffusion de la formation</t>
  </si>
  <si>
    <t>Développement des partenariats avec des organismes de santé</t>
  </si>
  <si>
    <r>
      <rPr>
        <rFont val="Arial"/>
        <color rgb="FF000000"/>
        <sz val="11.0"/>
      </rPr>
      <t>Make.org</t>
    </r>
    <r>
      <rPr>
        <rFont val="Arial"/>
        <color theme="1"/>
        <sz val="11.0"/>
      </rPr>
      <t xml:space="preserve"> Foundation</t>
    </r>
  </si>
  <si>
    <t>Communication en ligne (acquisition sur les réseaux sociaux)</t>
  </si>
  <si>
    <t>Nom des réseaux sociaux</t>
  </si>
  <si>
    <t>Evenement de présentation de la formation</t>
  </si>
  <si>
    <r>
      <rPr>
        <rFont val="Arial"/>
        <color rgb="FF000000"/>
        <sz val="11.0"/>
      </rPr>
      <t>Make.org</t>
    </r>
    <r>
      <rPr>
        <rFont val="Arial"/>
        <color theme="1"/>
        <sz val="11.0"/>
      </rPr>
      <t xml:space="preserve"> Foundation</t>
    </r>
  </si>
  <si>
    <t>Forfait : location du lieu, traiteur, temps d'organisation</t>
  </si>
  <si>
    <t>5. Frais de gestion</t>
  </si>
  <si>
    <t>Suivi juridique</t>
  </si>
  <si>
    <t>Nom du cabinet</t>
  </si>
  <si>
    <t>Frais administratifs et financiers (comptable, fournitures, loyer...)</t>
  </si>
  <si>
    <r>
      <rPr>
        <rFont val="Arial"/>
        <color rgb="FF000000"/>
        <sz val="11.0"/>
      </rPr>
      <t>Make.org</t>
    </r>
    <r>
      <rPr>
        <rFont val="Arial"/>
        <color theme="1"/>
        <sz val="11.0"/>
      </rPr>
      <t xml:space="preserve"> Foundation</t>
    </r>
  </si>
  <si>
    <t>Variables</t>
  </si>
  <si>
    <t>JH Association</t>
  </si>
  <si>
    <t>JH Mécène de compétences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</si>
</sst>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[$€-1]"/>
    <numFmt numFmtId="165" formatCode="#,##0\ [$€-1]"/>
  </numFmts>
  <fonts count="15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sz val="14.0"/>
      <color theme="0"/>
      <name val="Arial"/>
      <scheme val="minor"/>
    </font>
    <font>
      <b/>
      <sz val="14.0"/>
      <color rgb="FFFFFFFF"/>
      <name val="Arial"/>
    </font>
    <font/>
    <font>
      <color theme="1"/>
      <name val="Arial"/>
    </font>
    <font>
      <b/>
      <sz val="11.0"/>
      <color theme="1"/>
      <name val="Arial"/>
    </font>
    <font>
      <b/>
      <color rgb="FFFFFFFF"/>
      <name val="Arial"/>
    </font>
    <font>
      <b/>
      <color theme="1"/>
      <name val="Arial"/>
    </font>
    <font>
      <sz val="11.0"/>
      <color theme="1"/>
      <name val="Arial"/>
      <scheme val="minor"/>
    </font>
    <font>
      <sz val="11.0"/>
      <color theme="1"/>
      <name val="Arial"/>
    </font>
    <font>
      <b/>
      <sz val="11.0"/>
      <color rgb="FFFFFFFF"/>
      <name val="Arial"/>
    </font>
    <font>
      <color theme="1"/>
      <name val="Arial"/>
      <scheme val="minor"/>
    </font>
    <font>
      <b/>
      <i/>
      <sz val="11.0"/>
      <color theme="1"/>
      <name val="Arial"/>
    </font>
    <font>
      <i/>
      <sz val="11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183487"/>
        <bgColor rgb="FF183487"/>
      </patternFill>
    </fill>
    <fill>
      <patternFill patternType="solid">
        <fgColor rgb="FFFFFFFF"/>
        <bgColor rgb="FFFFFFFF"/>
      </patternFill>
    </fill>
    <fill>
      <patternFill patternType="solid">
        <fgColor rgb="FF00A88F"/>
        <bgColor rgb="FF00A88F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C8EAE5"/>
        <bgColor rgb="FFC8EAE5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 shrinkToFit="0" vertical="top" wrapText="1"/>
    </xf>
    <xf borderId="0" fillId="3" fontId="2" numFmtId="0" xfId="0" applyAlignment="1" applyFill="1" applyFont="1">
      <alignment horizontal="center" readingOrder="0" vertical="center"/>
    </xf>
    <xf borderId="1" fillId="3" fontId="3" numFmtId="0" xfId="0" applyAlignment="1" applyBorder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0" fillId="0" fontId="5" numFmtId="0" xfId="0" applyFont="1"/>
    <xf borderId="0" fillId="4" fontId="1" numFmtId="0" xfId="0" applyAlignment="1" applyFill="1" applyFont="1">
      <alignment horizontal="center" readingOrder="0" shrinkToFit="0" wrapText="1"/>
    </xf>
    <xf borderId="4" fillId="4" fontId="6" numFmtId="0" xfId="0" applyAlignment="1" applyBorder="1" applyFont="1">
      <alignment readingOrder="0" vertical="center"/>
    </xf>
    <xf borderId="4" fillId="4" fontId="6" numFmtId="0" xfId="0" applyAlignment="1" applyBorder="1" applyFont="1">
      <alignment horizontal="center" readingOrder="0" vertical="center"/>
    </xf>
    <xf borderId="1" fillId="5" fontId="7" numFmtId="0" xfId="0" applyAlignment="1" applyBorder="1" applyFill="1" applyFont="1">
      <alignment horizontal="center" readingOrder="0" vertical="center"/>
    </xf>
    <xf borderId="4" fillId="0" fontId="6" numFmtId="0" xfId="0" applyAlignment="1" applyBorder="1" applyFont="1">
      <alignment horizontal="center" readingOrder="0" vertical="center"/>
    </xf>
    <xf borderId="4" fillId="6" fontId="6" numFmtId="0" xfId="0" applyAlignment="1" applyBorder="1" applyFill="1" applyFont="1">
      <alignment horizontal="center" readingOrder="0" shrinkToFit="0" vertical="center" wrapText="1"/>
    </xf>
    <xf borderId="4" fillId="0" fontId="8" numFmtId="0" xfId="0" applyAlignment="1" applyBorder="1" applyFont="1">
      <alignment readingOrder="0" vertical="center"/>
    </xf>
    <xf borderId="4" fillId="0" fontId="8" numFmtId="0" xfId="0" applyAlignment="1" applyBorder="1" applyFont="1">
      <alignment horizontal="center" readingOrder="0" vertical="center"/>
    </xf>
    <xf borderId="0" fillId="4" fontId="9" numFmtId="0" xfId="0" applyAlignment="1" applyFont="1">
      <alignment readingOrder="0" shrinkToFit="0" vertical="center" wrapText="1"/>
    </xf>
    <xf borderId="0" fillId="6" fontId="5" numFmtId="0" xfId="0" applyFont="1"/>
    <xf borderId="1" fillId="0" fontId="10" numFmtId="0" xfId="0" applyAlignment="1" applyBorder="1" applyFont="1">
      <alignment readingOrder="0" vertical="center"/>
    </xf>
    <xf borderId="0" fillId="4" fontId="9" numFmtId="0" xfId="0" applyAlignment="1" applyFont="1">
      <alignment readingOrder="0" shrinkToFit="0" vertical="center" wrapText="1"/>
    </xf>
    <xf borderId="0" fillId="7" fontId="11" numFmtId="0" xfId="0" applyAlignment="1" applyFill="1" applyFont="1">
      <alignment readingOrder="0" vertical="center"/>
    </xf>
    <xf borderId="0" fillId="7" fontId="7" numFmtId="0" xfId="0" applyAlignment="1" applyFont="1">
      <alignment vertical="center"/>
    </xf>
    <xf borderId="0" fillId="7" fontId="7" numFmtId="164" xfId="0" applyAlignment="1" applyFont="1" applyNumberFormat="1">
      <alignment vertical="center"/>
    </xf>
    <xf borderId="0" fillId="5" fontId="7" numFmtId="164" xfId="0" applyAlignment="1" applyFont="1" applyNumberFormat="1">
      <alignment vertical="center"/>
    </xf>
    <xf borderId="0" fillId="7" fontId="11" numFmtId="165" xfId="0" applyAlignment="1" applyFont="1" applyNumberFormat="1">
      <alignment readingOrder="0" vertical="center"/>
    </xf>
    <xf borderId="1" fillId="7" fontId="11" numFmtId="0" xfId="0" applyAlignment="1" applyBorder="1" applyFont="1">
      <alignment readingOrder="0" vertical="center"/>
    </xf>
    <xf borderId="2" fillId="7" fontId="11" numFmtId="0" xfId="0" applyAlignment="1" applyBorder="1" applyFont="1">
      <alignment readingOrder="0" vertical="center"/>
    </xf>
    <xf borderId="2" fillId="7" fontId="11" numFmtId="164" xfId="0" applyAlignment="1" applyBorder="1" applyFont="1" applyNumberFormat="1">
      <alignment readingOrder="0" vertical="center"/>
    </xf>
    <xf borderId="5" fillId="5" fontId="11" numFmtId="164" xfId="0" applyAlignment="1" applyBorder="1" applyFont="1" applyNumberFormat="1">
      <alignment vertical="center"/>
    </xf>
    <xf borderId="3" fillId="7" fontId="11" numFmtId="0" xfId="0" applyAlignment="1" applyBorder="1" applyFont="1">
      <alignment readingOrder="0" vertical="center"/>
    </xf>
    <xf borderId="0" fillId="0" fontId="10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10" numFmtId="164" xfId="0" applyAlignment="1" applyFont="1" applyNumberFormat="1">
      <alignment readingOrder="0" vertical="center"/>
    </xf>
    <xf borderId="0" fillId="8" fontId="10" numFmtId="164" xfId="0" applyAlignment="1" applyFill="1" applyFont="1" applyNumberFormat="1">
      <alignment vertical="center"/>
    </xf>
    <xf borderId="0" fillId="9" fontId="10" numFmtId="0" xfId="0" applyFill="1" applyFont="1"/>
    <xf borderId="2" fillId="0" fontId="10" numFmtId="0" xfId="0" applyAlignment="1" applyBorder="1" applyFont="1">
      <alignment readingOrder="0" vertical="center"/>
    </xf>
    <xf borderId="2" fillId="0" fontId="10" numFmtId="164" xfId="0" applyAlignment="1" applyBorder="1" applyFont="1" applyNumberFormat="1">
      <alignment readingOrder="0" vertical="center"/>
    </xf>
    <xf borderId="6" fillId="8" fontId="10" numFmtId="164" xfId="0" applyAlignment="1" applyBorder="1" applyFont="1" applyNumberFormat="1">
      <alignment vertical="center"/>
    </xf>
    <xf borderId="4" fillId="0" fontId="5" numFmtId="0" xfId="0" applyAlignment="1" applyBorder="1" applyFont="1">
      <alignment readingOrder="0" vertical="center"/>
    </xf>
    <xf borderId="0" fillId="0" fontId="10" numFmtId="0" xfId="0" applyFont="1"/>
    <xf borderId="7" fillId="8" fontId="10" numFmtId="164" xfId="0" applyAlignment="1" applyBorder="1" applyFont="1" applyNumberFormat="1">
      <alignment vertical="center"/>
    </xf>
    <xf borderId="0" fillId="4" fontId="12" numFmtId="0" xfId="0" applyFont="1"/>
    <xf borderId="0" fillId="0" fontId="10" numFmtId="0" xfId="0" applyAlignment="1" applyFont="1">
      <alignment vertical="center"/>
    </xf>
    <xf borderId="0" fillId="9" fontId="10" numFmtId="0" xfId="0" applyAlignment="1" applyFont="1">
      <alignment vertical="center"/>
    </xf>
    <xf borderId="0" fillId="4" fontId="5" numFmtId="0" xfId="0" applyFont="1"/>
    <xf borderId="0" fillId="0" fontId="12" numFmtId="0" xfId="0" applyAlignment="1" applyFont="1">
      <alignment vertical="center"/>
    </xf>
    <xf borderId="0" fillId="7" fontId="11" numFmtId="0" xfId="0" applyAlignment="1" applyFont="1">
      <alignment readingOrder="0" shrinkToFit="0" vertical="center" wrapText="1"/>
    </xf>
    <xf borderId="0" fillId="7" fontId="11" numFmtId="0" xfId="0" applyAlignment="1" applyFont="1">
      <alignment vertical="center"/>
    </xf>
    <xf borderId="0" fillId="7" fontId="11" numFmtId="164" xfId="0" applyAlignment="1" applyFont="1" applyNumberFormat="1">
      <alignment vertical="center"/>
    </xf>
    <xf borderId="0" fillId="5" fontId="11" numFmtId="164" xfId="0" applyAlignment="1" applyFont="1" applyNumberFormat="1">
      <alignment vertical="center"/>
    </xf>
    <xf borderId="0" fillId="0" fontId="5" numFmtId="0" xfId="0" applyAlignment="1" applyFont="1">
      <alignment vertical="center"/>
    </xf>
    <xf borderId="0" fillId="9" fontId="12" numFmtId="0" xfId="0" applyFont="1"/>
    <xf borderId="0" fillId="0" fontId="10" numFmtId="0" xfId="0" applyAlignment="1" applyFont="1">
      <alignment readingOrder="0" vertical="center"/>
    </xf>
    <xf borderId="1" fillId="0" fontId="5" numFmtId="0" xfId="0" applyAlignment="1" applyBorder="1" applyFont="1">
      <alignment readingOrder="0" vertical="center"/>
    </xf>
    <xf borderId="2" fillId="0" fontId="5" numFmtId="0" xfId="0" applyAlignment="1" applyBorder="1" applyFont="1">
      <alignment vertical="center"/>
    </xf>
    <xf borderId="4" fillId="0" fontId="10" numFmtId="0" xfId="0" applyAlignment="1" applyBorder="1" applyFont="1">
      <alignment readingOrder="0" vertical="center"/>
    </xf>
    <xf borderId="1" fillId="10" fontId="10" numFmtId="0" xfId="0" applyAlignment="1" applyBorder="1" applyFill="1" applyFont="1">
      <alignment readingOrder="0" vertical="center"/>
    </xf>
    <xf borderId="2" fillId="10" fontId="10" numFmtId="0" xfId="0" applyAlignment="1" applyBorder="1" applyFont="1">
      <alignment readingOrder="0" vertical="center"/>
    </xf>
    <xf borderId="2" fillId="10" fontId="10" numFmtId="164" xfId="0" applyAlignment="1" applyBorder="1" applyFont="1" applyNumberFormat="1">
      <alignment readingOrder="0" vertical="center"/>
    </xf>
    <xf borderId="4" fillId="10" fontId="10" numFmtId="0" xfId="0" applyAlignment="1" applyBorder="1" applyFont="1">
      <alignment readingOrder="0" vertical="center"/>
    </xf>
    <xf borderId="8" fillId="5" fontId="7" numFmtId="0" xfId="0" applyAlignment="1" applyBorder="1" applyFont="1">
      <alignment readingOrder="0" vertical="center"/>
    </xf>
    <xf borderId="9" fillId="5" fontId="7" numFmtId="0" xfId="0" applyAlignment="1" applyBorder="1" applyFont="1">
      <alignment vertical="center"/>
    </xf>
    <xf borderId="9" fillId="5" fontId="7" numFmtId="164" xfId="0" applyAlignment="1" applyBorder="1" applyFont="1" applyNumberFormat="1">
      <alignment vertical="center"/>
    </xf>
    <xf borderId="10" fillId="7" fontId="11" numFmtId="0" xfId="0" applyAlignment="1" applyBorder="1" applyFont="1">
      <alignment readingOrder="0" vertical="center"/>
    </xf>
    <xf borderId="0" fillId="0" fontId="10" numFmtId="0" xfId="0" applyAlignment="1" applyFont="1">
      <alignment readingOrder="0"/>
    </xf>
    <xf borderId="0" fillId="0" fontId="10" numFmtId="0" xfId="0" applyAlignment="1" applyFont="1">
      <alignment readingOrder="0" shrinkToFit="0" wrapText="1"/>
    </xf>
    <xf borderId="0" fillId="4" fontId="1" numFmtId="0" xfId="0" applyAlignment="1" applyFont="1">
      <alignment readingOrder="0" shrinkToFit="0" vertical="center" wrapText="1"/>
    </xf>
    <xf borderId="0" fillId="4" fontId="9" numFmtId="0" xfId="0" applyAlignment="1" applyFont="1">
      <alignment readingOrder="0"/>
    </xf>
    <xf borderId="0" fillId="8" fontId="10" numFmtId="164" xfId="0" applyFont="1" applyNumberFormat="1"/>
    <xf borderId="0" fillId="4" fontId="9" numFmtId="0" xfId="0" applyAlignment="1" applyFont="1">
      <alignment readingOrder="0" vertical="center"/>
    </xf>
    <xf borderId="0" fillId="9" fontId="5" numFmtId="0" xfId="0" applyFont="1"/>
    <xf borderId="1" fillId="5" fontId="7" numFmtId="0" xfId="0" applyAlignment="1" applyBorder="1" applyFont="1">
      <alignment readingOrder="0" vertical="center"/>
    </xf>
    <xf borderId="2" fillId="5" fontId="7" numFmtId="0" xfId="0" applyAlignment="1" applyBorder="1" applyFont="1">
      <alignment vertical="center"/>
    </xf>
    <xf borderId="2" fillId="5" fontId="7" numFmtId="164" xfId="0" applyAlignment="1" applyBorder="1" applyFont="1" applyNumberFormat="1">
      <alignment vertical="center"/>
    </xf>
    <xf borderId="11" fillId="10" fontId="6" numFmtId="0" xfId="0" applyAlignment="1" applyBorder="1" applyFont="1">
      <alignment readingOrder="0"/>
    </xf>
    <xf borderId="12" fillId="10" fontId="5" numFmtId="0" xfId="0" applyBorder="1" applyFont="1"/>
    <xf borderId="0" fillId="4" fontId="13" numFmtId="0" xfId="0" applyAlignment="1" applyFont="1">
      <alignment horizontal="center" readingOrder="0" vertical="center"/>
    </xf>
    <xf borderId="13" fillId="10" fontId="10" numFmtId="0" xfId="0" applyAlignment="1" applyBorder="1" applyFont="1">
      <alignment readingOrder="0"/>
    </xf>
    <xf borderId="14" fillId="10" fontId="10" numFmtId="165" xfId="0" applyAlignment="1" applyBorder="1" applyFont="1" applyNumberFormat="1">
      <alignment readingOrder="0"/>
    </xf>
    <xf borderId="0" fillId="4" fontId="14" numFmtId="0" xfId="0" applyAlignment="1" applyFont="1">
      <alignment readingOrder="0"/>
    </xf>
    <xf borderId="13" fillId="10" fontId="10" numFmtId="0" xfId="0" applyAlignment="1" applyBorder="1" applyFont="1">
      <alignment readingOrder="0"/>
    </xf>
    <xf borderId="0" fillId="4" fontId="14" numFmtId="0" xfId="0" applyAlignment="1" applyFont="1">
      <alignment readingOrder="0" shrinkToFit="0" wrapText="1"/>
    </xf>
    <xf borderId="15" fillId="10" fontId="5" numFmtId="0" xfId="0" applyBorder="1" applyFont="1"/>
    <xf borderId="16" fillId="1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2057400</xdr:colOff>
      <xdr:row>2</xdr:row>
      <xdr:rowOff>133350</xdr:rowOff>
    </xdr:from>
    <xdr:ext cx="1962150" cy="9334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409575</xdr:colOff>
      <xdr:row>1</xdr:row>
      <xdr:rowOff>47625</xdr:rowOff>
    </xdr:from>
    <xdr:ext cx="1323975" cy="1323975"/>
    <xdr:pic>
      <xdr:nvPicPr>
        <xdr:cNvPr id="0" name="image2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13"/>
    <col customWidth="1" min="2" max="2" width="58.63"/>
    <col customWidth="1" min="3" max="3" width="5.88"/>
    <col customWidth="1" min="4" max="4" width="45.63"/>
    <col customWidth="1" min="5" max="5" width="18.75"/>
    <col customWidth="1" min="10" max="10" width="30.63"/>
    <col customWidth="1" min="11" max="11" width="43.63"/>
    <col customWidth="1" min="13" max="13" width="42.75"/>
    <col customWidth="1" min="14" max="14" width="18.0"/>
    <col customWidth="1" min="19" max="19" width="35.63"/>
  </cols>
  <sheetData>
    <row r="1" ht="19.5" customHeight="1">
      <c r="D1" s="1"/>
    </row>
    <row r="3" ht="96.75" customHeight="1">
      <c r="F3" s="2" t="s">
        <v>0</v>
      </c>
    </row>
    <row r="5" ht="64.5" customHeight="1">
      <c r="D5" s="3" t="s">
        <v>1</v>
      </c>
    </row>
    <row r="6" ht="21.75" customHeight="1"/>
    <row r="9" ht="32.25" customHeight="1">
      <c r="D9" s="4" t="s">
        <v>2</v>
      </c>
      <c r="E9" s="5"/>
      <c r="F9" s="5"/>
      <c r="G9" s="5"/>
      <c r="H9" s="5"/>
      <c r="I9" s="5"/>
      <c r="J9" s="5"/>
      <c r="K9" s="6"/>
      <c r="L9" s="7"/>
      <c r="M9" s="4" t="s">
        <v>3</v>
      </c>
      <c r="N9" s="5"/>
      <c r="O9" s="5"/>
      <c r="P9" s="5"/>
      <c r="Q9" s="5"/>
      <c r="R9" s="5"/>
      <c r="S9" s="6"/>
    </row>
    <row r="10"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>
      <c r="B11" s="8"/>
      <c r="D11" s="9" t="s">
        <v>4</v>
      </c>
      <c r="E11" s="10" t="s">
        <v>5</v>
      </c>
      <c r="F11" s="10">
        <v>2025.0</v>
      </c>
      <c r="G11" s="10">
        <v>2026.0</v>
      </c>
      <c r="H11" s="10">
        <v>2027.0</v>
      </c>
      <c r="I11" s="11" t="s">
        <v>6</v>
      </c>
      <c r="J11" s="12" t="s">
        <v>7</v>
      </c>
      <c r="K11" s="13" t="s">
        <v>8</v>
      </c>
      <c r="L11" s="7"/>
      <c r="M11" s="14" t="s">
        <v>9</v>
      </c>
      <c r="N11" s="15" t="s">
        <v>10</v>
      </c>
      <c r="O11" s="12">
        <v>2025.0</v>
      </c>
      <c r="P11" s="12">
        <v>2026.0</v>
      </c>
      <c r="Q11" s="12">
        <v>2027.0</v>
      </c>
      <c r="R11" s="11" t="s">
        <v>6</v>
      </c>
      <c r="S11" s="12" t="s">
        <v>7</v>
      </c>
    </row>
    <row r="12" ht="33.0" customHeight="1">
      <c r="B12" s="16"/>
      <c r="D12" s="7"/>
      <c r="E12" s="7"/>
      <c r="F12" s="7"/>
      <c r="G12" s="7"/>
      <c r="H12" s="7"/>
      <c r="I12" s="7"/>
      <c r="J12" s="7"/>
      <c r="K12" s="17"/>
      <c r="L12" s="7"/>
      <c r="M12" s="18"/>
      <c r="N12" s="5"/>
      <c r="O12" s="5"/>
      <c r="P12" s="5"/>
      <c r="Q12" s="5"/>
      <c r="R12" s="5"/>
      <c r="S12" s="6"/>
    </row>
    <row r="13" ht="82.5" customHeight="1">
      <c r="B13" s="19"/>
      <c r="D13" s="20" t="s">
        <v>11</v>
      </c>
      <c r="E13" s="21"/>
      <c r="F13" s="22">
        <f t="shared" ref="F13:I13" si="1">F14+F15</f>
        <v>15000</v>
      </c>
      <c r="G13" s="22">
        <f t="shared" si="1"/>
        <v>0</v>
      </c>
      <c r="H13" s="22">
        <f t="shared" si="1"/>
        <v>0</v>
      </c>
      <c r="I13" s="23">
        <f t="shared" si="1"/>
        <v>15000</v>
      </c>
      <c r="J13" s="21"/>
      <c r="K13" s="24">
        <v>2000.0</v>
      </c>
      <c r="L13" s="7"/>
      <c r="M13" s="25" t="s">
        <v>12</v>
      </c>
      <c r="N13" s="26"/>
      <c r="O13" s="27">
        <f t="shared" ref="O13:Q13" si="2">O14+O15</f>
        <v>10000</v>
      </c>
      <c r="P13" s="27">
        <f t="shared" si="2"/>
        <v>0</v>
      </c>
      <c r="Q13" s="27">
        <f t="shared" si="2"/>
        <v>0</v>
      </c>
      <c r="R13" s="28">
        <f>SUM(R14:R15)</f>
        <v>10000</v>
      </c>
      <c r="S13" s="29"/>
    </row>
    <row r="14" ht="87.0" customHeight="1">
      <c r="B14" s="16"/>
      <c r="D14" s="30" t="s">
        <v>13</v>
      </c>
      <c r="E14" s="31" t="s">
        <v>14</v>
      </c>
      <c r="F14" s="32">
        <v>10000.0</v>
      </c>
      <c r="G14" s="32">
        <v>0.0</v>
      </c>
      <c r="H14" s="32">
        <v>0.0</v>
      </c>
      <c r="I14" s="33">
        <f t="shared" ref="I14:I15" si="3">F14+G14+H14</f>
        <v>10000</v>
      </c>
      <c r="J14" s="30" t="s">
        <v>15</v>
      </c>
      <c r="K14" s="34"/>
      <c r="L14" s="7"/>
      <c r="M14" s="18" t="s">
        <v>16</v>
      </c>
      <c r="N14" s="35" t="s">
        <v>17</v>
      </c>
      <c r="O14" s="36">
        <v>5000.0</v>
      </c>
      <c r="P14" s="36">
        <v>0.0</v>
      </c>
      <c r="Q14" s="36">
        <v>0.0</v>
      </c>
      <c r="R14" s="37">
        <f t="shared" ref="R14:R15" si="4">O14+P14+Q14</f>
        <v>5000</v>
      </c>
      <c r="S14" s="38"/>
    </row>
    <row r="15" ht="82.5" customHeight="1">
      <c r="B15" s="19"/>
      <c r="D15" s="30" t="s">
        <v>18</v>
      </c>
      <c r="E15" s="31" t="s">
        <v>19</v>
      </c>
      <c r="F15" s="32">
        <v>5000.0</v>
      </c>
      <c r="G15" s="32">
        <v>0.0</v>
      </c>
      <c r="H15" s="32">
        <v>0.0</v>
      </c>
      <c r="I15" s="33">
        <f t="shared" si="3"/>
        <v>5000</v>
      </c>
      <c r="J15" s="39"/>
      <c r="K15" s="34"/>
      <c r="L15" s="7"/>
      <c r="M15" s="18" t="s">
        <v>20</v>
      </c>
      <c r="N15" s="35" t="s">
        <v>17</v>
      </c>
      <c r="O15" s="36">
        <v>5000.0</v>
      </c>
      <c r="P15" s="36">
        <v>0.0</v>
      </c>
      <c r="Q15" s="36">
        <v>0.0</v>
      </c>
      <c r="R15" s="40">
        <f t="shared" si="4"/>
        <v>5000</v>
      </c>
      <c r="S15" s="38"/>
    </row>
    <row r="16" ht="17.25" customHeight="1">
      <c r="B16" s="41"/>
      <c r="D16" s="42"/>
      <c r="E16" s="42"/>
      <c r="F16" s="42"/>
      <c r="G16" s="42"/>
      <c r="H16" s="42"/>
      <c r="I16" s="42"/>
      <c r="J16" s="42"/>
      <c r="K16" s="43"/>
      <c r="L16" s="7"/>
      <c r="M16" s="44"/>
      <c r="N16" s="44"/>
      <c r="O16" s="44"/>
      <c r="P16" s="44"/>
      <c r="Q16" s="44"/>
      <c r="R16" s="44"/>
      <c r="S16" s="44"/>
    </row>
    <row r="17" ht="73.5" customHeight="1">
      <c r="A17" s="45"/>
      <c r="B17" s="19"/>
      <c r="C17" s="45"/>
      <c r="D17" s="46" t="s">
        <v>21</v>
      </c>
      <c r="E17" s="47"/>
      <c r="F17" s="48">
        <f t="shared" ref="F17:I17" si="5">SUM(F18:F23)</f>
        <v>50000</v>
      </c>
      <c r="G17" s="48">
        <f t="shared" si="5"/>
        <v>0</v>
      </c>
      <c r="H17" s="48">
        <f t="shared" si="5"/>
        <v>0</v>
      </c>
      <c r="I17" s="49">
        <f t="shared" si="5"/>
        <v>50000</v>
      </c>
      <c r="J17" s="47"/>
      <c r="K17" s="24">
        <v>7000.0</v>
      </c>
      <c r="L17" s="50"/>
      <c r="M17" s="25" t="s">
        <v>22</v>
      </c>
      <c r="N17" s="26"/>
      <c r="O17" s="27">
        <f t="shared" ref="O17:R17" si="6">SUM(O18:O20)</f>
        <v>40000</v>
      </c>
      <c r="P17" s="27">
        <f t="shared" si="6"/>
        <v>0</v>
      </c>
      <c r="Q17" s="27">
        <f t="shared" si="6"/>
        <v>0</v>
      </c>
      <c r="R17" s="28">
        <f t="shared" si="6"/>
        <v>40000</v>
      </c>
      <c r="S17" s="29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</row>
    <row r="18" ht="36.0" customHeight="1">
      <c r="A18" s="45"/>
      <c r="B18" s="19"/>
      <c r="C18" s="45"/>
      <c r="D18" s="30" t="s">
        <v>23</v>
      </c>
      <c r="E18" s="31" t="s">
        <v>24</v>
      </c>
      <c r="F18" s="32">
        <v>5000.0</v>
      </c>
      <c r="G18" s="32">
        <v>0.0</v>
      </c>
      <c r="H18" s="32">
        <v>0.0</v>
      </c>
      <c r="I18" s="33">
        <f t="shared" ref="I18:I23" si="7">F18+G18+H18</f>
        <v>5000</v>
      </c>
      <c r="K18" s="51"/>
      <c r="L18" s="50"/>
      <c r="M18" s="18" t="s">
        <v>25</v>
      </c>
      <c r="N18" s="35" t="s">
        <v>26</v>
      </c>
      <c r="O18" s="36">
        <v>20000.0</v>
      </c>
      <c r="P18" s="36">
        <v>0.0</v>
      </c>
      <c r="Q18" s="36">
        <v>0.0</v>
      </c>
      <c r="R18" s="37">
        <f t="shared" ref="R18:R20" si="8">O18+P18+Q18</f>
        <v>20000</v>
      </c>
      <c r="S18" s="38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</row>
    <row r="19" ht="36.0" customHeight="1">
      <c r="A19" s="45"/>
      <c r="C19" s="45"/>
      <c r="D19" s="30" t="s">
        <v>27</v>
      </c>
      <c r="E19" s="52" t="s">
        <v>28</v>
      </c>
      <c r="F19" s="32">
        <v>10000.0</v>
      </c>
      <c r="G19" s="32">
        <v>0.0</v>
      </c>
      <c r="H19" s="32">
        <v>0.0</v>
      </c>
      <c r="I19" s="33">
        <f t="shared" si="7"/>
        <v>10000</v>
      </c>
      <c r="K19" s="51"/>
      <c r="L19" s="50"/>
      <c r="M19" s="18" t="s">
        <v>29</v>
      </c>
      <c r="N19" s="35" t="s">
        <v>26</v>
      </c>
      <c r="O19" s="36">
        <v>10000.0</v>
      </c>
      <c r="P19" s="36">
        <v>0.0</v>
      </c>
      <c r="Q19" s="36">
        <v>0.0</v>
      </c>
      <c r="R19" s="37">
        <f t="shared" si="8"/>
        <v>10000</v>
      </c>
      <c r="S19" s="38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</row>
    <row r="20" ht="42.0" customHeight="1">
      <c r="A20" s="45"/>
      <c r="C20" s="45"/>
      <c r="D20" s="30" t="s">
        <v>30</v>
      </c>
      <c r="E20" s="52" t="s">
        <v>28</v>
      </c>
      <c r="F20" s="32">
        <v>10000.0</v>
      </c>
      <c r="G20" s="32"/>
      <c r="H20" s="32"/>
      <c r="I20" s="33">
        <f t="shared" si="7"/>
        <v>10000</v>
      </c>
      <c r="J20" s="31"/>
      <c r="K20" s="51"/>
      <c r="L20" s="50"/>
      <c r="M20" s="18" t="s">
        <v>31</v>
      </c>
      <c r="N20" s="35" t="s">
        <v>32</v>
      </c>
      <c r="O20" s="36">
        <v>10000.0</v>
      </c>
      <c r="P20" s="36">
        <v>0.0</v>
      </c>
      <c r="Q20" s="36">
        <v>0.0</v>
      </c>
      <c r="R20" s="40">
        <f t="shared" si="8"/>
        <v>10000</v>
      </c>
      <c r="S20" s="38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</row>
    <row r="21" ht="42.0" customHeight="1">
      <c r="A21" s="45"/>
      <c r="C21" s="45"/>
      <c r="D21" s="30" t="s">
        <v>33</v>
      </c>
      <c r="E21" s="52" t="s">
        <v>28</v>
      </c>
      <c r="F21" s="32">
        <v>5000.0</v>
      </c>
      <c r="G21" s="32"/>
      <c r="H21" s="32"/>
      <c r="I21" s="33">
        <f t="shared" si="7"/>
        <v>5000</v>
      </c>
      <c r="J21" s="31" t="s">
        <v>34</v>
      </c>
      <c r="K21" s="51"/>
      <c r="L21" s="50"/>
      <c r="M21" s="53"/>
      <c r="N21" s="54"/>
      <c r="O21" s="36"/>
      <c r="P21" s="36"/>
      <c r="Q21" s="36"/>
      <c r="R21" s="36"/>
      <c r="S21" s="36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</row>
    <row r="22" ht="42.0" customHeight="1">
      <c r="A22" s="45"/>
      <c r="C22" s="45"/>
      <c r="D22" s="30" t="s">
        <v>35</v>
      </c>
      <c r="E22" s="52" t="s">
        <v>28</v>
      </c>
      <c r="F22" s="32">
        <v>15000.0</v>
      </c>
      <c r="G22" s="32"/>
      <c r="H22" s="32"/>
      <c r="I22" s="33">
        <f t="shared" si="7"/>
        <v>15000</v>
      </c>
      <c r="J22" s="31"/>
      <c r="K22" s="51"/>
      <c r="L22" s="50"/>
      <c r="M22" s="25" t="s">
        <v>36</v>
      </c>
      <c r="N22" s="26"/>
      <c r="O22" s="27">
        <f t="shared" ref="O22:R22" si="9">SUM(O23:O25)</f>
        <v>50000</v>
      </c>
      <c r="P22" s="27">
        <f t="shared" si="9"/>
        <v>0</v>
      </c>
      <c r="Q22" s="27">
        <f t="shared" si="9"/>
        <v>0</v>
      </c>
      <c r="R22" s="28">
        <f t="shared" si="9"/>
        <v>50000</v>
      </c>
      <c r="S22" s="29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</row>
    <row r="23" ht="42.0" customHeight="1">
      <c r="A23" s="45"/>
      <c r="C23" s="45"/>
      <c r="D23" s="30" t="s">
        <v>37</v>
      </c>
      <c r="E23" s="31" t="s">
        <v>38</v>
      </c>
      <c r="F23" s="32">
        <v>5000.0</v>
      </c>
      <c r="G23" s="32">
        <v>0.0</v>
      </c>
      <c r="H23" s="32">
        <v>0.0</v>
      </c>
      <c r="I23" s="33">
        <f t="shared" si="7"/>
        <v>5000</v>
      </c>
      <c r="J23" s="31" t="s">
        <v>39</v>
      </c>
      <c r="K23" s="51"/>
      <c r="L23" s="50"/>
      <c r="M23" s="18" t="s">
        <v>40</v>
      </c>
      <c r="N23" s="35" t="s">
        <v>17</v>
      </c>
      <c r="O23" s="36">
        <v>30000.0</v>
      </c>
      <c r="P23" s="36">
        <v>0.0</v>
      </c>
      <c r="Q23" s="36">
        <v>0.0</v>
      </c>
      <c r="R23" s="37">
        <f t="shared" ref="R23:R25" si="10">O23+P23+Q23</f>
        <v>30000</v>
      </c>
      <c r="S23" s="55" t="s">
        <v>41</v>
      </c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</row>
    <row r="24" ht="42.0" customHeight="1">
      <c r="A24" s="45"/>
      <c r="C24" s="45"/>
      <c r="K24" s="51"/>
      <c r="L24" s="50"/>
      <c r="M24" s="18" t="s">
        <v>42</v>
      </c>
      <c r="N24" s="35" t="s">
        <v>17</v>
      </c>
      <c r="O24" s="36">
        <v>5000.0</v>
      </c>
      <c r="P24" s="36">
        <v>0.0</v>
      </c>
      <c r="Q24" s="36">
        <v>0.0</v>
      </c>
      <c r="R24" s="37">
        <f t="shared" si="10"/>
        <v>5000</v>
      </c>
      <c r="S24" s="55" t="s">
        <v>39</v>
      </c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</row>
    <row r="25" ht="55.5" customHeight="1">
      <c r="D25" s="46" t="s">
        <v>43</v>
      </c>
      <c r="E25" s="47"/>
      <c r="F25" s="48">
        <f t="shared" ref="F25:H25" si="11">F26+F27+F28</f>
        <v>17000</v>
      </c>
      <c r="G25" s="48">
        <f t="shared" si="11"/>
        <v>0</v>
      </c>
      <c r="H25" s="48">
        <f t="shared" si="11"/>
        <v>0</v>
      </c>
      <c r="I25" s="49">
        <f t="shared" ref="I25:I28" si="12">F25+G25+H25</f>
        <v>17000</v>
      </c>
      <c r="J25" s="47"/>
      <c r="K25" s="24">
        <v>5000.0</v>
      </c>
      <c r="L25" s="7"/>
      <c r="M25" s="56" t="s">
        <v>44</v>
      </c>
      <c r="N25" s="57" t="s">
        <v>26</v>
      </c>
      <c r="O25" s="58">
        <v>15000.0</v>
      </c>
      <c r="P25" s="58">
        <v>0.0</v>
      </c>
      <c r="Q25" s="58">
        <v>0.0</v>
      </c>
      <c r="R25" s="40">
        <f t="shared" si="10"/>
        <v>15000</v>
      </c>
      <c r="S25" s="59"/>
    </row>
    <row r="26" ht="45.0" customHeight="1">
      <c r="D26" s="30" t="s">
        <v>45</v>
      </c>
      <c r="E26" s="52" t="s">
        <v>28</v>
      </c>
      <c r="F26" s="32">
        <v>2000.0</v>
      </c>
      <c r="G26" s="32">
        <v>0.0</v>
      </c>
      <c r="H26" s="32">
        <v>0.0</v>
      </c>
      <c r="I26" s="33">
        <f t="shared" si="12"/>
        <v>2000</v>
      </c>
      <c r="J26" s="30" t="s">
        <v>46</v>
      </c>
      <c r="K26" s="43"/>
      <c r="L26" s="7"/>
      <c r="M26" s="53"/>
      <c r="N26" s="54"/>
      <c r="O26" s="36"/>
      <c r="P26" s="36"/>
      <c r="Q26" s="36"/>
      <c r="R26" s="32"/>
    </row>
    <row r="27" ht="57.0" customHeight="1">
      <c r="D27" s="52" t="s">
        <v>47</v>
      </c>
      <c r="E27" s="31" t="s">
        <v>48</v>
      </c>
      <c r="F27" s="32">
        <v>5000.0</v>
      </c>
      <c r="G27" s="32">
        <v>0.0</v>
      </c>
      <c r="H27" s="32">
        <v>0.0</v>
      </c>
      <c r="I27" s="33">
        <f t="shared" si="12"/>
        <v>5000</v>
      </c>
      <c r="J27" s="30" t="s">
        <v>49</v>
      </c>
      <c r="K27" s="43"/>
      <c r="L27" s="7"/>
      <c r="M27" s="60" t="s">
        <v>6</v>
      </c>
      <c r="N27" s="61"/>
      <c r="O27" s="62">
        <f t="shared" ref="O27:R27" si="13">O13+O17+O22</f>
        <v>100000</v>
      </c>
      <c r="P27" s="62">
        <f t="shared" si="13"/>
        <v>0</v>
      </c>
      <c r="Q27" s="62">
        <f t="shared" si="13"/>
        <v>0</v>
      </c>
      <c r="R27" s="62">
        <f t="shared" si="13"/>
        <v>100000</v>
      </c>
      <c r="S27" s="63"/>
    </row>
    <row r="28" ht="36.0" customHeight="1">
      <c r="D28" s="30" t="s">
        <v>50</v>
      </c>
      <c r="E28" s="52" t="s">
        <v>28</v>
      </c>
      <c r="F28" s="32">
        <v>10000.0</v>
      </c>
      <c r="G28" s="32">
        <v>0.0</v>
      </c>
      <c r="H28" s="32">
        <v>0.0</v>
      </c>
      <c r="I28" s="33">
        <f t="shared" si="12"/>
        <v>10000</v>
      </c>
      <c r="J28" s="42"/>
      <c r="K28" s="43"/>
      <c r="L28" s="7"/>
      <c r="M28" s="7"/>
      <c r="N28" s="7"/>
      <c r="O28" s="7"/>
      <c r="P28" s="7"/>
      <c r="Q28" s="7"/>
      <c r="R28" s="7"/>
      <c r="S28" s="7"/>
    </row>
    <row r="29">
      <c r="D29" s="64"/>
      <c r="E29" s="39"/>
      <c r="F29" s="39"/>
      <c r="G29" s="39"/>
      <c r="H29" s="39"/>
      <c r="I29" s="39"/>
      <c r="J29" s="39"/>
      <c r="K29" s="34"/>
      <c r="L29" s="7"/>
      <c r="M29" s="7"/>
      <c r="N29" s="7"/>
      <c r="O29" s="7"/>
      <c r="P29" s="7"/>
      <c r="Q29" s="7"/>
      <c r="R29" s="7"/>
      <c r="S29" s="7"/>
    </row>
    <row r="30">
      <c r="D30" s="39"/>
      <c r="E30" s="39"/>
      <c r="F30" s="39"/>
      <c r="G30" s="39"/>
      <c r="H30" s="39"/>
      <c r="I30" s="39"/>
      <c r="J30" s="39"/>
      <c r="K30" s="34"/>
      <c r="L30" s="7"/>
      <c r="M30" s="7"/>
      <c r="N30" s="7"/>
      <c r="O30" s="7"/>
      <c r="P30" s="7"/>
      <c r="Q30" s="7"/>
      <c r="R30" s="7"/>
      <c r="S30" s="7"/>
    </row>
    <row r="31" ht="34.5" customHeight="1">
      <c r="D31" s="20" t="s">
        <v>51</v>
      </c>
      <c r="E31" s="47"/>
      <c r="F31" s="48">
        <f t="shared" ref="F31:H31" si="14">SUM(F32:F34)</f>
        <v>13000</v>
      </c>
      <c r="G31" s="48">
        <f t="shared" si="14"/>
        <v>0</v>
      </c>
      <c r="H31" s="48">
        <f t="shared" si="14"/>
        <v>0</v>
      </c>
      <c r="I31" s="49">
        <f t="shared" ref="I31:I34" si="15">F31+G31+H31</f>
        <v>13000</v>
      </c>
      <c r="J31" s="47"/>
      <c r="K31" s="47"/>
      <c r="L31" s="7"/>
      <c r="M31" s="7"/>
      <c r="N31" s="7"/>
      <c r="O31" s="7"/>
      <c r="P31" s="7"/>
      <c r="Q31" s="7"/>
      <c r="R31" s="7"/>
      <c r="S31" s="7"/>
    </row>
    <row r="32">
      <c r="D32" s="30" t="s">
        <v>52</v>
      </c>
      <c r="E32" s="31" t="s">
        <v>53</v>
      </c>
      <c r="F32" s="32">
        <v>5000.0</v>
      </c>
      <c r="G32" s="32">
        <v>0.0</v>
      </c>
      <c r="H32" s="32">
        <v>0.0</v>
      </c>
      <c r="I32" s="33">
        <f t="shared" si="15"/>
        <v>5000</v>
      </c>
      <c r="J32" s="39"/>
      <c r="K32" s="34"/>
      <c r="L32" s="7"/>
      <c r="M32" s="7"/>
      <c r="N32" s="7"/>
      <c r="O32" s="7"/>
      <c r="P32" s="7"/>
      <c r="Q32" s="7"/>
      <c r="R32" s="7"/>
      <c r="S32" s="7"/>
    </row>
    <row r="33">
      <c r="D33" s="30" t="s">
        <v>54</v>
      </c>
      <c r="E33" s="65" t="s">
        <v>55</v>
      </c>
      <c r="F33" s="32">
        <v>5000.0</v>
      </c>
      <c r="G33" s="32">
        <v>0.0</v>
      </c>
      <c r="H33" s="32">
        <v>0.0</v>
      </c>
      <c r="I33" s="33">
        <f t="shared" si="15"/>
        <v>5000</v>
      </c>
      <c r="J33" s="39"/>
      <c r="K33" s="34"/>
      <c r="L33" s="7"/>
      <c r="M33" s="7"/>
      <c r="N33" s="7"/>
      <c r="O33" s="7"/>
      <c r="P33" s="7"/>
      <c r="Q33" s="7"/>
      <c r="R33" s="7"/>
      <c r="S33" s="7"/>
    </row>
    <row r="34" ht="40.5" customHeight="1">
      <c r="B34" s="41"/>
      <c r="D34" s="30" t="s">
        <v>56</v>
      </c>
      <c r="E34" s="31" t="s">
        <v>57</v>
      </c>
      <c r="F34" s="32">
        <v>3000.0</v>
      </c>
      <c r="G34" s="32">
        <v>0.0</v>
      </c>
      <c r="H34" s="32">
        <v>0.0</v>
      </c>
      <c r="I34" s="33">
        <f t="shared" si="15"/>
        <v>3000</v>
      </c>
      <c r="J34" s="65" t="s">
        <v>58</v>
      </c>
      <c r="K34" s="34"/>
      <c r="L34" s="7"/>
      <c r="M34" s="7"/>
      <c r="N34" s="7"/>
      <c r="O34" s="7"/>
      <c r="P34" s="7"/>
      <c r="Q34" s="7"/>
      <c r="R34" s="7"/>
      <c r="S34" s="7"/>
    </row>
    <row r="35" ht="25.5" customHeight="1">
      <c r="B35" s="41"/>
      <c r="D35" s="39"/>
      <c r="E35" s="39"/>
      <c r="F35" s="39"/>
      <c r="G35" s="39"/>
      <c r="H35" s="39"/>
      <c r="I35" s="39"/>
      <c r="J35" s="39"/>
      <c r="K35" s="34"/>
      <c r="L35" s="7"/>
      <c r="M35" s="7"/>
      <c r="N35" s="7"/>
      <c r="O35" s="7"/>
      <c r="P35" s="7"/>
      <c r="Q35" s="7"/>
      <c r="R35" s="7"/>
      <c r="S35" s="7"/>
    </row>
    <row r="36">
      <c r="B36" s="66"/>
      <c r="D36" s="20" t="s">
        <v>59</v>
      </c>
      <c r="E36" s="47"/>
      <c r="F36" s="48">
        <f t="shared" ref="F36:H36" si="16">F37+F38</f>
        <v>5000</v>
      </c>
      <c r="G36" s="48">
        <f t="shared" si="16"/>
        <v>0</v>
      </c>
      <c r="H36" s="48">
        <f t="shared" si="16"/>
        <v>0</v>
      </c>
      <c r="I36" s="49">
        <f t="shared" ref="I36:I38" si="17">F36+G36+H36</f>
        <v>5000</v>
      </c>
      <c r="J36" s="47"/>
      <c r="K36" s="24">
        <v>1000.0</v>
      </c>
      <c r="L36" s="7"/>
      <c r="M36" s="7"/>
      <c r="N36" s="7"/>
      <c r="O36" s="7"/>
      <c r="P36" s="7"/>
      <c r="Q36" s="7"/>
      <c r="R36" s="7"/>
      <c r="S36" s="7"/>
    </row>
    <row r="37">
      <c r="B37" s="67"/>
      <c r="D37" s="30" t="s">
        <v>60</v>
      </c>
      <c r="E37" s="64" t="s">
        <v>61</v>
      </c>
      <c r="F37" s="32">
        <v>2000.0</v>
      </c>
      <c r="G37" s="32">
        <v>0.0</v>
      </c>
      <c r="H37" s="32">
        <v>0.0</v>
      </c>
      <c r="I37" s="68">
        <f t="shared" si="17"/>
        <v>2000</v>
      </c>
      <c r="J37" s="39"/>
      <c r="K37" s="34"/>
      <c r="L37" s="7"/>
      <c r="M37" s="7"/>
      <c r="N37" s="7"/>
      <c r="O37" s="7"/>
      <c r="P37" s="7"/>
      <c r="Q37" s="7"/>
      <c r="R37" s="7"/>
      <c r="S37" s="7"/>
    </row>
    <row r="38">
      <c r="B38" s="69"/>
      <c r="D38" s="30" t="s">
        <v>62</v>
      </c>
      <c r="E38" s="31" t="s">
        <v>63</v>
      </c>
      <c r="F38" s="32">
        <v>3000.0</v>
      </c>
      <c r="G38" s="32">
        <v>0.0</v>
      </c>
      <c r="H38" s="32">
        <v>0.0</v>
      </c>
      <c r="I38" s="68">
        <f t="shared" si="17"/>
        <v>3000</v>
      </c>
      <c r="J38" s="39"/>
      <c r="K38" s="34"/>
      <c r="L38" s="7"/>
      <c r="M38" s="7"/>
      <c r="N38" s="7"/>
      <c r="O38" s="7"/>
      <c r="P38" s="7"/>
      <c r="Q38" s="7"/>
      <c r="R38" s="7"/>
      <c r="S38" s="7"/>
    </row>
    <row r="39">
      <c r="D39" s="7"/>
      <c r="E39" s="7"/>
      <c r="F39" s="7"/>
      <c r="G39" s="7"/>
      <c r="H39" s="7"/>
      <c r="I39" s="7"/>
      <c r="J39" s="7"/>
      <c r="K39" s="70"/>
      <c r="L39" s="7"/>
      <c r="M39" s="7"/>
      <c r="N39" s="7"/>
      <c r="O39" s="7"/>
      <c r="P39" s="7"/>
      <c r="Q39" s="7"/>
      <c r="R39" s="7"/>
      <c r="S39" s="7"/>
    </row>
    <row r="40" ht="28.5" customHeight="1">
      <c r="D40" s="71" t="s">
        <v>6</v>
      </c>
      <c r="E40" s="72"/>
      <c r="F40" s="73">
        <f t="shared" ref="F40:I40" si="18">F13+F17+F25+F31+F36</f>
        <v>100000</v>
      </c>
      <c r="G40" s="73">
        <f t="shared" si="18"/>
        <v>0</v>
      </c>
      <c r="H40" s="73">
        <f t="shared" si="18"/>
        <v>0</v>
      </c>
      <c r="I40" s="73">
        <f t="shared" si="18"/>
        <v>100000</v>
      </c>
      <c r="J40" s="47"/>
      <c r="K40" s="24">
        <f>K36+K25+K17+K13</f>
        <v>15000</v>
      </c>
      <c r="L40" s="7"/>
      <c r="M40" s="7"/>
      <c r="N40" s="7"/>
      <c r="O40" s="7"/>
      <c r="P40" s="7"/>
      <c r="Q40" s="7"/>
      <c r="R40" s="7"/>
      <c r="S40" s="7"/>
    </row>
    <row r="41"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  <row r="43"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>
      <c r="D44" s="7"/>
      <c r="E44" s="7"/>
      <c r="F44" s="7"/>
      <c r="G44" s="44"/>
      <c r="H44" s="44"/>
      <c r="I44" s="44"/>
      <c r="J44" s="44"/>
      <c r="K44" s="44"/>
      <c r="L44" s="7"/>
      <c r="M44" s="7"/>
      <c r="N44" s="7"/>
      <c r="O44" s="7"/>
      <c r="P44" s="7"/>
      <c r="Q44" s="7"/>
      <c r="R44" s="7"/>
      <c r="S44" s="7"/>
    </row>
    <row r="45">
      <c r="D45" s="7"/>
      <c r="E45" s="7"/>
      <c r="F45" s="7"/>
      <c r="G45" s="44"/>
      <c r="H45" s="44"/>
      <c r="I45" s="44"/>
      <c r="J45" s="44"/>
      <c r="K45" s="44"/>
    </row>
    <row r="46">
      <c r="D46" s="74" t="s">
        <v>64</v>
      </c>
      <c r="E46" s="75"/>
      <c r="F46" s="7"/>
      <c r="G46" s="76"/>
    </row>
    <row r="47">
      <c r="D47" s="77" t="s">
        <v>65</v>
      </c>
      <c r="E47" s="78">
        <v>0.0</v>
      </c>
      <c r="F47" s="7"/>
      <c r="G47" s="79"/>
    </row>
    <row r="48">
      <c r="D48" s="80" t="s">
        <v>66</v>
      </c>
      <c r="E48" s="78">
        <v>0.0</v>
      </c>
      <c r="F48" s="7"/>
      <c r="G48" s="81"/>
    </row>
    <row r="49">
      <c r="D49" s="82"/>
      <c r="E49" s="83"/>
      <c r="F49" s="7"/>
      <c r="G49" s="81"/>
    </row>
    <row r="50">
      <c r="G50" s="41"/>
      <c r="H50" s="41"/>
      <c r="I50" s="41"/>
      <c r="J50" s="41"/>
      <c r="K50" s="41"/>
    </row>
  </sheetData>
  <mergeCells count="11">
    <mergeCell ref="G46:K46"/>
    <mergeCell ref="G47:K47"/>
    <mergeCell ref="G48:K48"/>
    <mergeCell ref="G49:K49"/>
    <mergeCell ref="F3:K3"/>
    <mergeCell ref="D5:S6"/>
    <mergeCell ref="D9:K9"/>
    <mergeCell ref="M9:S9"/>
    <mergeCell ref="M12:S12"/>
    <mergeCell ref="B18:B33"/>
    <mergeCell ref="R26:S26"/>
  </mergeCells>
  <dataValidations>
    <dataValidation type="list" allowBlank="1" showErrorMessage="1" sqref="N14:N15 N18:N20 N23:N25">
      <formula1>"Obtenu,Sollicité,En recherche"</formula1>
    </dataValidation>
  </dataValidations>
  <drawing r:id="rId1"/>
</worksheet>
</file>